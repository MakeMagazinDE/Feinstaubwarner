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tch-my.sharepoint.com/personal/martin_hanselmann_ost_ch/Documents/Semester 8/Bachelorarbeit/Prototyp/Hardware/"/>
    </mc:Choice>
  </mc:AlternateContent>
  <xr:revisionPtr revIDLastSave="232" documentId="8_{7328B939-6A1C-2B4B-B0B5-8442D5CB5FFC}" xr6:coauthVersionLast="47" xr6:coauthVersionMax="47" xr10:uidLastSave="{65F8A9FF-5675-3843-B5D8-8DC4FBDBC361}"/>
  <bookViews>
    <workbookView xWindow="0" yWindow="500" windowWidth="38400" windowHeight="21100" xr2:uid="{33E1E8EC-0152-8841-BFE0-B363A407DD05}"/>
  </bookViews>
  <sheets>
    <sheet name="V2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" i="2"/>
  <c r="G23" i="1"/>
</calcChain>
</file>

<file path=xl/sharedStrings.xml><?xml version="1.0" encoding="utf-8"?>
<sst xmlns="http://schemas.openxmlformats.org/spreadsheetml/2006/main" count="180" uniqueCount="72">
  <si>
    <t>Komponente</t>
  </si>
  <si>
    <t>Menge</t>
  </si>
  <si>
    <t>Beschreibung</t>
  </si>
  <si>
    <t>ESP32 Dev Board</t>
  </si>
  <si>
    <t>ESP32-WROOM-32 Modul (MCU, WiFi/Bluetooth)</t>
  </si>
  <si>
    <t>Sensirion SEN66</t>
  </si>
  <si>
    <t>I²C Luftqualitätssensor (Feinstaub, VOC)</t>
  </si>
  <si>
    <t>SSD1306 OLED Display 128×64</t>
  </si>
  <si>
    <t>I²C-OLED-Modul, 128×64 px</t>
  </si>
  <si>
    <t>RTC DS1302 Modul</t>
  </si>
  <si>
    <t>Echtzeituhr mit Batterie-Backup</t>
  </si>
  <si>
    <t>microSD-Kartenmodul (SPI)</t>
  </si>
  <si>
    <t>NeoPixel-Ring (WS2812B, 8 LEDs)</t>
  </si>
  <si>
    <t>Taster (Button)</t>
  </si>
  <si>
    <t>Drucktaster, zum GND (INPUT_PULLUP)</t>
  </si>
  <si>
    <t>Vibration Motor</t>
  </si>
  <si>
    <t>Piezo-Buzzer</t>
  </si>
  <si>
    <t>Passiver Piezo-Summer</t>
  </si>
  <si>
    <t>Widerstände (Spannungsteiler)</t>
  </si>
  <si>
    <t>RTC-Batterie, hält Zeit bei Stromausfall</t>
  </si>
  <si>
    <t>Verbindungskabel / Jumper-Wires</t>
  </si>
  <si>
    <t>Dupont-Kabel für alle Pins</t>
  </si>
  <si>
    <t>Hersteller</t>
  </si>
  <si>
    <t>Hersteller-Nummer</t>
  </si>
  <si>
    <t>Sensirion</t>
  </si>
  <si>
    <t>SEN66</t>
  </si>
  <si>
    <t>DFRobot</t>
  </si>
  <si>
    <t>Generic</t>
  </si>
  <si>
    <t>SD-Card-Adapter mit Level-Shifter</t>
  </si>
  <si>
    <t>RGB-LED-Ring, einzeln adressierbar (8 LEDs)</t>
  </si>
  <si>
    <t>E-Switch</t>
  </si>
  <si>
    <t>PV6E2B2C01</t>
  </si>
  <si>
    <t>3 V–5 V Vibrationsmotor</t>
  </si>
  <si>
    <t>je 1</t>
  </si>
  <si>
    <t>Panasonic</t>
  </si>
  <si>
    <t>CR2032</t>
  </si>
  <si>
    <t>Jumper Wire Kit</t>
  </si>
  <si>
    <t>Kosten</t>
  </si>
  <si>
    <t>na</t>
  </si>
  <si>
    <t>ESP32 Dev Kit V1</t>
  </si>
  <si>
    <t>Lieferant</t>
  </si>
  <si>
    <t>Lieferant Nummer</t>
  </si>
  <si>
    <t>bastelgarage.ch</t>
  </si>
  <si>
    <t>Aliexpress</t>
  </si>
  <si>
    <t>Mouser</t>
  </si>
  <si>
    <t>CR2032 Knopfzelle (Backup) für RTC Modul</t>
  </si>
  <si>
    <t>Li-Ion Akku</t>
  </si>
  <si>
    <t>3 Sätze</t>
  </si>
  <si>
    <t>150 kΩ + 100 kΩ für Batterie-Messung</t>
  </si>
  <si>
    <t>Lochrasterplatine</t>
  </si>
  <si>
    <t>Li-Ion Akku 3000mA 18650 mit Schutzelektronik und Stecker, Typ: NCR18650B</t>
  </si>
  <si>
    <t>DCDC Wandler</t>
  </si>
  <si>
    <t>MT3608 Step-up Spannungsregler DC-DC Boost 2-24V</t>
  </si>
  <si>
    <t>90x70mm Prototyp PCB Platine</t>
  </si>
  <si>
    <t>TP4056 Lithium LiPo Akku Batterie Lademodul USB C 5V 1A</t>
  </si>
  <si>
    <t>Batterie Lademodul</t>
  </si>
  <si>
    <t>MicroUSB Kabel</t>
  </si>
  <si>
    <t>Stiftleiste</t>
  </si>
  <si>
    <t>USB-C Kabel</t>
  </si>
  <si>
    <t>NodeMCU-32 ESP32 WiFi Bluetooth Entwicklungsboard CP2102</t>
  </si>
  <si>
    <t>Li-ion Batterie Lademodul mit DC-DC Step Up Boost Converter</t>
  </si>
  <si>
    <t>Li-Ion Akku 3.7V 3000mA NCR18650B 18650 mit Schutzelektronik</t>
  </si>
  <si>
    <t>18650 Batteriefach / Batteriehalter mit Anschlusskabel</t>
  </si>
  <si>
    <t xml:space="preserve">Kippschalter On/Off Schalter 6A 125V / 3A 250V	</t>
  </si>
  <si>
    <t>Verbindungskabel / Jumper-Wires Satz mit 20 stk.</t>
  </si>
  <si>
    <t>WS2812B - 144LED/m LED NeoPixel Strip 6.9cm</t>
  </si>
  <si>
    <t xml:space="preserve">USB Typ C Buchse Breakout Board 4P	</t>
  </si>
  <si>
    <t>Filament für Gehäuse</t>
  </si>
  <si>
    <t>M2 Schrauben</t>
  </si>
  <si>
    <t>Einpressgewinde M2</t>
  </si>
  <si>
    <t>Stückpreis</t>
  </si>
  <si>
    <t>Gesamtkosten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</si>
</sst>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CHF&quot;\ * #,##0.00_ ;_ &quot;CHF&quot;\ * \-#,##0.00_ ;_ &quot;CHF&quot;\ * &quot;-&quot;??_ ;_ @_ "/>
  </numFmts>
  <fonts count="8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4" fontId="1" fillId="0" borderId="0" xfId="0" applyNumberFormat="1" applyFont="1"/>
    <xf numFmtId="44" fontId="2" fillId="0" borderId="0" xfId="0" applyNumberFormat="1" applyFont="1"/>
    <xf numFmtId="44" fontId="0" fillId="0" borderId="0" xfId="0" applyNumberFormat="1"/>
    <xf numFmtId="0" fontId="4" fillId="0" borderId="0" xfId="0" applyFont="1"/>
    <xf numFmtId="44" fontId="4" fillId="0" borderId="0" xfId="0" applyNumberFormat="1" applyFont="1"/>
    <xf numFmtId="0" fontId="5" fillId="0" borderId="0" xfId="0" applyFont="1"/>
    <xf numFmtId="0" fontId="6" fillId="0" borderId="0" xfId="0" applyFont="1"/>
    <xf numFmtId="44" fontId="6" fillId="0" borderId="0" xfId="0" applyNumberFormat="1" applyFont="1"/>
    <xf numFmtId="44" fontId="5" fillId="0" borderId="0" xfId="0" applyNumberFormat="1" applyFont="1"/>
    <xf numFmtId="0" fontId="7" fillId="0" borderId="1" xfId="1" applyFont="1"/>
    <xf numFmtId="44" fontId="7" fillId="0" borderId="1" xfId="1" applyNumberFormat="1" applyFont="1"/>
  </cellXfs>
  <cellStyles count="2">
    <cellStyle name="Ergebnis" xfId="1" builtinId="2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A4F2-5BFD-4048-B89D-CE62BC953BFF}">
  <dimension ref="A1:L37"/>
  <sheetViews>
    <sheetView tabSelected="1" workbookViewId="0">
      <selection activeCell="G24" sqref="G24"/>
    </sheetView>
  </sheetViews>
  <sheetFormatPr baseColWidth="10" defaultRowHeight="16" x14ac:dyDescent="0.2"/>
  <cols>
    <col min="1" max="1" width="63.1640625" bestFit="1" customWidth="1"/>
    <col min="2" max="2" width="10.83203125" bestFit="1" customWidth="1"/>
    <col min="3" max="3" width="20" bestFit="1" customWidth="1"/>
    <col min="4" max="4" width="7.33203125" bestFit="1" customWidth="1"/>
    <col min="5" max="5" width="16" bestFit="1" customWidth="1"/>
    <col min="6" max="6" width="18.6640625" bestFit="1" customWidth="1"/>
    <col min="7" max="7" width="12.33203125" bestFit="1" customWidth="1"/>
    <col min="8" max="8" width="15.83203125" bestFit="1" customWidth="1"/>
    <col min="9" max="9" width="75.33203125" bestFit="1" customWidth="1"/>
  </cols>
  <sheetData>
    <row r="1" spans="1:12" ht="19" x14ac:dyDescent="0.25">
      <c r="A1" s="6" t="s">
        <v>0</v>
      </c>
      <c r="B1" s="6" t="s">
        <v>22</v>
      </c>
      <c r="C1" s="6" t="s">
        <v>23</v>
      </c>
      <c r="D1" s="6" t="s">
        <v>1</v>
      </c>
      <c r="E1" s="6" t="s">
        <v>40</v>
      </c>
      <c r="F1" s="6" t="s">
        <v>41</v>
      </c>
      <c r="G1" s="7" t="s">
        <v>70</v>
      </c>
      <c r="H1" s="7" t="s">
        <v>71</v>
      </c>
      <c r="I1" s="6" t="s">
        <v>2</v>
      </c>
      <c r="J1" s="8"/>
      <c r="K1" s="8"/>
      <c r="L1" s="8"/>
    </row>
    <row r="2" spans="1:12" ht="19" x14ac:dyDescent="0.25">
      <c r="A2" s="9" t="s">
        <v>59</v>
      </c>
      <c r="B2" s="9" t="s">
        <v>38</v>
      </c>
      <c r="C2" s="9"/>
      <c r="D2" s="9">
        <v>1</v>
      </c>
      <c r="E2" s="9" t="s">
        <v>42</v>
      </c>
      <c r="F2" s="9">
        <v>422715</v>
      </c>
      <c r="G2" s="10">
        <v>5</v>
      </c>
      <c r="H2" s="10">
        <f>G2*D2</f>
        <v>5</v>
      </c>
      <c r="I2" s="9" t="s">
        <v>4</v>
      </c>
      <c r="J2" s="8"/>
      <c r="K2" s="8"/>
      <c r="L2" s="8"/>
    </row>
    <row r="3" spans="1:12" ht="19" x14ac:dyDescent="0.25">
      <c r="A3" s="9" t="s">
        <v>5</v>
      </c>
      <c r="B3" s="9" t="s">
        <v>24</v>
      </c>
      <c r="C3" s="9" t="s">
        <v>25</v>
      </c>
      <c r="D3" s="9">
        <v>1</v>
      </c>
      <c r="E3" s="9" t="s">
        <v>44</v>
      </c>
      <c r="F3" s="9"/>
      <c r="G3" s="10">
        <v>66.38</v>
      </c>
      <c r="H3" s="10">
        <f t="shared" ref="H3:H24" si="0">G3*D3</f>
        <v>66.38</v>
      </c>
      <c r="I3" s="9" t="s">
        <v>6</v>
      </c>
      <c r="J3" s="8"/>
      <c r="K3" s="8"/>
      <c r="L3" s="8"/>
    </row>
    <row r="4" spans="1:12" ht="19" x14ac:dyDescent="0.25">
      <c r="A4" s="9" t="s">
        <v>7</v>
      </c>
      <c r="B4" s="9" t="s">
        <v>38</v>
      </c>
      <c r="C4" s="9" t="s">
        <v>38</v>
      </c>
      <c r="D4" s="9">
        <v>1</v>
      </c>
      <c r="E4" s="9" t="s">
        <v>42</v>
      </c>
      <c r="F4" s="9">
        <v>420268</v>
      </c>
      <c r="G4" s="10">
        <v>10.9</v>
      </c>
      <c r="H4" s="10">
        <f t="shared" si="0"/>
        <v>10.9</v>
      </c>
      <c r="I4" s="9" t="s">
        <v>8</v>
      </c>
      <c r="J4" s="8"/>
      <c r="K4" s="8"/>
      <c r="L4" s="8"/>
    </row>
    <row r="5" spans="1:12" ht="19" x14ac:dyDescent="0.25">
      <c r="A5" s="9" t="s">
        <v>9</v>
      </c>
      <c r="B5" s="9" t="s">
        <v>38</v>
      </c>
      <c r="C5" s="9" t="s">
        <v>38</v>
      </c>
      <c r="D5" s="9">
        <v>1</v>
      </c>
      <c r="E5" s="9" t="s">
        <v>43</v>
      </c>
      <c r="F5" s="9"/>
      <c r="G5" s="10">
        <v>5</v>
      </c>
      <c r="H5" s="10">
        <f t="shared" si="0"/>
        <v>5</v>
      </c>
      <c r="I5" s="9" t="s">
        <v>10</v>
      </c>
      <c r="J5" s="8"/>
      <c r="K5" s="8"/>
      <c r="L5" s="8"/>
    </row>
    <row r="6" spans="1:12" ht="19" x14ac:dyDescent="0.25">
      <c r="A6" s="9" t="s">
        <v>11</v>
      </c>
      <c r="B6" s="9" t="s">
        <v>38</v>
      </c>
      <c r="C6" s="9"/>
      <c r="D6" s="9">
        <v>1</v>
      </c>
      <c r="E6" s="9" t="s">
        <v>42</v>
      </c>
      <c r="F6" s="9">
        <v>420088</v>
      </c>
      <c r="G6" s="10">
        <v>4.9000000000000004</v>
      </c>
      <c r="H6" s="10">
        <f t="shared" si="0"/>
        <v>4.9000000000000004</v>
      </c>
      <c r="I6" s="9" t="s">
        <v>28</v>
      </c>
      <c r="J6" s="8"/>
      <c r="K6" s="8"/>
      <c r="L6" s="8"/>
    </row>
    <row r="7" spans="1:12" ht="19" x14ac:dyDescent="0.25">
      <c r="A7" s="9" t="s">
        <v>65</v>
      </c>
      <c r="B7" s="9" t="s">
        <v>38</v>
      </c>
      <c r="C7" s="9"/>
      <c r="D7" s="9">
        <v>1</v>
      </c>
      <c r="E7" s="9" t="s">
        <v>42</v>
      </c>
      <c r="F7" s="9">
        <v>421768</v>
      </c>
      <c r="G7" s="10">
        <v>4.9000000000000004</v>
      </c>
      <c r="H7" s="10">
        <f t="shared" si="0"/>
        <v>4.9000000000000004</v>
      </c>
      <c r="I7" s="9" t="s">
        <v>29</v>
      </c>
      <c r="J7" s="8"/>
      <c r="K7" s="8"/>
      <c r="L7" s="8"/>
    </row>
    <row r="8" spans="1:12" ht="19" x14ac:dyDescent="0.25">
      <c r="A8" s="9" t="s">
        <v>13</v>
      </c>
      <c r="B8" s="9" t="s">
        <v>30</v>
      </c>
      <c r="C8" s="9" t="s">
        <v>31</v>
      </c>
      <c r="D8" s="9">
        <v>1</v>
      </c>
      <c r="E8" s="9" t="s">
        <v>43</v>
      </c>
      <c r="F8" s="9"/>
      <c r="G8" s="10">
        <v>2</v>
      </c>
      <c r="H8" s="10">
        <f t="shared" si="0"/>
        <v>2</v>
      </c>
      <c r="I8" s="9" t="s">
        <v>14</v>
      </c>
      <c r="J8" s="8"/>
      <c r="K8" s="8"/>
      <c r="L8" s="8"/>
    </row>
    <row r="9" spans="1:12" ht="19" x14ac:dyDescent="0.25">
      <c r="A9" s="9" t="s">
        <v>63</v>
      </c>
      <c r="B9" s="9" t="s">
        <v>38</v>
      </c>
      <c r="C9" s="9"/>
      <c r="D9" s="9">
        <v>1</v>
      </c>
      <c r="E9" s="9" t="s">
        <v>42</v>
      </c>
      <c r="F9" s="9">
        <v>420354</v>
      </c>
      <c r="G9" s="10">
        <v>0.9</v>
      </c>
      <c r="H9" s="10">
        <f t="shared" si="0"/>
        <v>0.9</v>
      </c>
      <c r="I9" s="9"/>
      <c r="J9" s="8"/>
      <c r="K9" s="8"/>
      <c r="L9" s="8"/>
    </row>
    <row r="10" spans="1:12" ht="19" x14ac:dyDescent="0.25">
      <c r="A10" s="9" t="s">
        <v>15</v>
      </c>
      <c r="B10" s="9" t="s">
        <v>26</v>
      </c>
      <c r="C10" s="9"/>
      <c r="D10" s="9">
        <v>1</v>
      </c>
      <c r="E10" s="9" t="s">
        <v>42</v>
      </c>
      <c r="F10" s="9">
        <v>420709</v>
      </c>
      <c r="G10" s="10">
        <v>4.9000000000000004</v>
      </c>
      <c r="H10" s="10">
        <f t="shared" si="0"/>
        <v>4.9000000000000004</v>
      </c>
      <c r="I10" s="9" t="s">
        <v>32</v>
      </c>
      <c r="J10" s="8"/>
      <c r="K10" s="8"/>
      <c r="L10" s="8"/>
    </row>
    <row r="11" spans="1:12" ht="19" x14ac:dyDescent="0.25">
      <c r="A11" s="9" t="s">
        <v>16</v>
      </c>
      <c r="B11" s="9" t="s">
        <v>38</v>
      </c>
      <c r="C11" s="9" t="s">
        <v>38</v>
      </c>
      <c r="D11" s="9">
        <v>1</v>
      </c>
      <c r="E11" s="9" t="s">
        <v>43</v>
      </c>
      <c r="F11" s="9"/>
      <c r="G11" s="10">
        <v>5</v>
      </c>
      <c r="H11" s="10">
        <f t="shared" si="0"/>
        <v>5</v>
      </c>
      <c r="I11" s="9" t="s">
        <v>17</v>
      </c>
      <c r="J11" s="8"/>
      <c r="K11" s="8"/>
      <c r="L11" s="8"/>
    </row>
    <row r="12" spans="1:12" ht="19" x14ac:dyDescent="0.25">
      <c r="A12" s="9" t="s">
        <v>18</v>
      </c>
      <c r="B12" s="9" t="s">
        <v>38</v>
      </c>
      <c r="C12" s="9" t="s">
        <v>38</v>
      </c>
      <c r="D12" s="9">
        <v>2</v>
      </c>
      <c r="E12" s="9" t="s">
        <v>38</v>
      </c>
      <c r="F12" s="9" t="s">
        <v>38</v>
      </c>
      <c r="G12" s="10">
        <v>1</v>
      </c>
      <c r="H12" s="10">
        <f t="shared" si="0"/>
        <v>2</v>
      </c>
      <c r="I12" s="9" t="s">
        <v>48</v>
      </c>
      <c r="J12" s="8"/>
      <c r="K12" s="8"/>
      <c r="L12" s="8"/>
    </row>
    <row r="13" spans="1:12" ht="19" x14ac:dyDescent="0.25">
      <c r="A13" s="9" t="s">
        <v>45</v>
      </c>
      <c r="B13" s="9" t="s">
        <v>34</v>
      </c>
      <c r="C13" s="9" t="s">
        <v>35</v>
      </c>
      <c r="D13" s="9">
        <v>1</v>
      </c>
      <c r="E13" s="9" t="s">
        <v>38</v>
      </c>
      <c r="F13" s="9" t="s">
        <v>38</v>
      </c>
      <c r="G13" s="10">
        <v>5</v>
      </c>
      <c r="H13" s="10">
        <f t="shared" si="0"/>
        <v>5</v>
      </c>
      <c r="I13" s="9" t="s">
        <v>19</v>
      </c>
      <c r="J13" s="8"/>
      <c r="K13" s="8"/>
      <c r="L13" s="8"/>
    </row>
    <row r="14" spans="1:12" ht="19" x14ac:dyDescent="0.25">
      <c r="A14" s="9" t="s">
        <v>61</v>
      </c>
      <c r="B14" s="9" t="s">
        <v>38</v>
      </c>
      <c r="C14" s="9"/>
      <c r="D14" s="9">
        <v>1</v>
      </c>
      <c r="E14" s="9" t="s">
        <v>42</v>
      </c>
      <c r="F14" s="9">
        <v>420731</v>
      </c>
      <c r="G14" s="10">
        <v>9.9</v>
      </c>
      <c r="H14" s="10">
        <f t="shared" si="0"/>
        <v>9.9</v>
      </c>
      <c r="I14" s="9" t="s">
        <v>50</v>
      </c>
      <c r="J14" s="8"/>
      <c r="K14" s="8"/>
      <c r="L14" s="8"/>
    </row>
    <row r="15" spans="1:12" ht="19" x14ac:dyDescent="0.25">
      <c r="A15" s="9" t="s">
        <v>62</v>
      </c>
      <c r="B15" s="9" t="s">
        <v>38</v>
      </c>
      <c r="C15" s="9"/>
      <c r="D15" s="9">
        <v>1</v>
      </c>
      <c r="E15" s="9" t="s">
        <v>42</v>
      </c>
      <c r="F15" s="9">
        <v>420491</v>
      </c>
      <c r="G15" s="10">
        <v>2.9</v>
      </c>
      <c r="H15" s="10">
        <f t="shared" si="0"/>
        <v>2.9</v>
      </c>
      <c r="I15" s="9"/>
      <c r="J15" s="8"/>
      <c r="K15" s="8"/>
      <c r="L15" s="8"/>
    </row>
    <row r="16" spans="1:12" ht="19" x14ac:dyDescent="0.25">
      <c r="A16" s="9" t="s">
        <v>64</v>
      </c>
      <c r="B16" s="9" t="s">
        <v>27</v>
      </c>
      <c r="C16" s="9" t="s">
        <v>36</v>
      </c>
      <c r="D16" s="9">
        <v>3</v>
      </c>
      <c r="E16" s="9" t="s">
        <v>43</v>
      </c>
      <c r="F16" s="9"/>
      <c r="G16" s="10">
        <v>2</v>
      </c>
      <c r="H16" s="10">
        <f t="shared" si="0"/>
        <v>6</v>
      </c>
      <c r="I16" s="9" t="s">
        <v>21</v>
      </c>
      <c r="J16" s="8"/>
      <c r="K16" s="8"/>
      <c r="L16" s="8"/>
    </row>
    <row r="17" spans="1:12" ht="19" x14ac:dyDescent="0.25">
      <c r="A17" s="9" t="s">
        <v>49</v>
      </c>
      <c r="B17" s="9" t="s">
        <v>38</v>
      </c>
      <c r="C17" s="9"/>
      <c r="D17" s="9">
        <v>1</v>
      </c>
      <c r="E17" s="9" t="s">
        <v>42</v>
      </c>
      <c r="F17" s="9">
        <v>423422</v>
      </c>
      <c r="G17" s="10">
        <v>3.9</v>
      </c>
      <c r="H17" s="10">
        <f t="shared" si="0"/>
        <v>3.9</v>
      </c>
      <c r="I17" s="9" t="s">
        <v>53</v>
      </c>
      <c r="J17" s="8"/>
      <c r="K17" s="8"/>
      <c r="L17" s="8"/>
    </row>
    <row r="18" spans="1:12" ht="19" x14ac:dyDescent="0.25">
      <c r="A18" s="9" t="s">
        <v>60</v>
      </c>
      <c r="B18" s="9" t="s">
        <v>38</v>
      </c>
      <c r="C18" s="8"/>
      <c r="D18" s="9">
        <v>1</v>
      </c>
      <c r="E18" s="9" t="s">
        <v>42</v>
      </c>
      <c r="F18" s="8">
        <v>422404</v>
      </c>
      <c r="G18" s="11">
        <v>4.9000000000000004</v>
      </c>
      <c r="H18" s="10">
        <f t="shared" si="0"/>
        <v>4.9000000000000004</v>
      </c>
      <c r="I18" s="9" t="s">
        <v>52</v>
      </c>
      <c r="J18" s="8"/>
      <c r="K18" s="8"/>
      <c r="L18" s="8"/>
    </row>
    <row r="19" spans="1:12" ht="19" x14ac:dyDescent="0.25">
      <c r="A19" s="9" t="s">
        <v>58</v>
      </c>
      <c r="B19" s="9" t="s">
        <v>38</v>
      </c>
      <c r="C19" s="8"/>
      <c r="D19" s="9">
        <v>1</v>
      </c>
      <c r="E19" s="9" t="s">
        <v>42</v>
      </c>
      <c r="F19" s="9">
        <v>422493</v>
      </c>
      <c r="G19" s="11">
        <v>7.9</v>
      </c>
      <c r="H19" s="10">
        <f t="shared" si="0"/>
        <v>7.9</v>
      </c>
      <c r="I19" s="9" t="s">
        <v>54</v>
      </c>
      <c r="J19" s="8"/>
      <c r="K19" s="8"/>
      <c r="L19" s="8"/>
    </row>
    <row r="20" spans="1:12" ht="19" x14ac:dyDescent="0.25">
      <c r="A20" s="9" t="s">
        <v>57</v>
      </c>
      <c r="B20" s="9" t="s">
        <v>38</v>
      </c>
      <c r="C20" s="8"/>
      <c r="D20" s="9">
        <v>1</v>
      </c>
      <c r="E20" s="9" t="s">
        <v>43</v>
      </c>
      <c r="F20" s="8"/>
      <c r="G20" s="11">
        <v>5</v>
      </c>
      <c r="H20" s="10">
        <f t="shared" si="0"/>
        <v>5</v>
      </c>
      <c r="I20" s="8"/>
      <c r="J20" s="8"/>
      <c r="K20" s="8"/>
      <c r="L20" s="8"/>
    </row>
    <row r="21" spans="1:12" ht="19" x14ac:dyDescent="0.25">
      <c r="A21" s="9" t="s">
        <v>66</v>
      </c>
      <c r="B21" s="8"/>
      <c r="C21" s="8"/>
      <c r="D21" s="9">
        <v>1</v>
      </c>
      <c r="E21" s="9" t="s">
        <v>42</v>
      </c>
      <c r="F21" s="9">
        <v>423420</v>
      </c>
      <c r="G21" s="11">
        <v>1.9</v>
      </c>
      <c r="H21" s="10">
        <f t="shared" si="0"/>
        <v>1.9</v>
      </c>
      <c r="I21" s="8"/>
      <c r="J21" s="8"/>
      <c r="K21" s="8"/>
      <c r="L21" s="8"/>
    </row>
    <row r="22" spans="1:12" ht="19" x14ac:dyDescent="0.25">
      <c r="A22" s="9" t="s">
        <v>67</v>
      </c>
      <c r="B22" s="8"/>
      <c r="C22" s="8"/>
      <c r="D22" s="9">
        <v>1</v>
      </c>
      <c r="E22" s="8"/>
      <c r="F22" s="8"/>
      <c r="G22" s="11">
        <v>10</v>
      </c>
      <c r="H22" s="10">
        <f t="shared" si="0"/>
        <v>10</v>
      </c>
      <c r="I22" s="8"/>
      <c r="J22" s="8"/>
      <c r="K22" s="8"/>
      <c r="L22" s="8"/>
    </row>
    <row r="23" spans="1:12" ht="19" x14ac:dyDescent="0.25">
      <c r="A23" s="9" t="s">
        <v>69</v>
      </c>
      <c r="B23" s="8"/>
      <c r="C23" s="8"/>
      <c r="D23" s="9">
        <v>25</v>
      </c>
      <c r="E23" s="8"/>
      <c r="F23" s="8"/>
      <c r="G23" s="11">
        <v>0.15</v>
      </c>
      <c r="H23" s="10">
        <f t="shared" si="0"/>
        <v>3.75</v>
      </c>
      <c r="I23" s="8"/>
      <c r="J23" s="8"/>
      <c r="K23" s="8"/>
      <c r="L23" s="8"/>
    </row>
    <row r="24" spans="1:12" ht="19" x14ac:dyDescent="0.25">
      <c r="A24" s="9" t="s">
        <v>68</v>
      </c>
      <c r="B24" s="8"/>
      <c r="C24" s="8"/>
      <c r="D24" s="9">
        <v>25</v>
      </c>
      <c r="E24" s="8"/>
      <c r="F24" s="8"/>
      <c r="G24" s="11">
        <v>0.1</v>
      </c>
      <c r="H24" s="10">
        <f t="shared" si="0"/>
        <v>2.5</v>
      </c>
      <c r="I24" s="8"/>
      <c r="J24" s="8"/>
      <c r="K24" s="8"/>
      <c r="L24" s="8"/>
    </row>
    <row r="25" spans="1:12" ht="20" thickBot="1" x14ac:dyDescent="0.3">
      <c r="A25" s="12" t="s">
        <v>71</v>
      </c>
      <c r="B25" s="12"/>
      <c r="C25" s="12"/>
      <c r="D25" s="12"/>
      <c r="E25" s="12"/>
      <c r="F25" s="12"/>
      <c r="G25" s="13"/>
      <c r="H25" s="13">
        <f>SUM(H2:H24)</f>
        <v>175.53000000000006</v>
      </c>
      <c r="I25" s="12"/>
      <c r="J25" s="8"/>
      <c r="K25" s="8"/>
      <c r="L25" s="8"/>
    </row>
    <row r="26" spans="1:12" ht="20" thickTop="1" x14ac:dyDescent="0.25">
      <c r="A26" s="8"/>
      <c r="B26" s="8"/>
      <c r="C26" s="8"/>
      <c r="D26" s="8"/>
      <c r="E26" s="8"/>
      <c r="F26" s="8"/>
      <c r="G26" s="11"/>
      <c r="H26" s="11"/>
      <c r="I26" s="8"/>
      <c r="J26" s="8"/>
      <c r="K26" s="8"/>
      <c r="L26" s="8"/>
    </row>
    <row r="27" spans="1:12" ht="19" x14ac:dyDescent="0.25">
      <c r="A27" s="8"/>
      <c r="B27" s="8"/>
      <c r="C27" s="8"/>
      <c r="D27" s="8"/>
      <c r="E27" s="8"/>
      <c r="F27" s="8"/>
      <c r="G27" s="11"/>
      <c r="H27" s="11"/>
      <c r="I27" s="8"/>
      <c r="J27" s="8"/>
      <c r="K27" s="8"/>
      <c r="L27" s="8"/>
    </row>
    <row r="28" spans="1:12" ht="19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ht="19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ht="19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ht="19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ht="19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ht="19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ht="19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ht="19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 ht="19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ht="19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B217-2B24-FC4A-A531-C019D4C57718}">
  <dimension ref="A1:H23"/>
  <sheetViews>
    <sheetView workbookViewId="0">
      <selection sqref="A1:H25"/>
    </sheetView>
  </sheetViews>
  <sheetFormatPr baseColWidth="10" defaultColWidth="11" defaultRowHeight="16" x14ac:dyDescent="0.2"/>
  <cols>
    <col min="1" max="1" width="36.1640625" bestFit="1" customWidth="1"/>
    <col min="2" max="2" width="18.6640625" bestFit="1" customWidth="1"/>
    <col min="3" max="3" width="33.1640625" bestFit="1" customWidth="1"/>
    <col min="4" max="4" width="6.6640625" bestFit="1" customWidth="1"/>
    <col min="5" max="5" width="14" bestFit="1" customWidth="1"/>
    <col min="6" max="6" width="16.5" bestFit="1" customWidth="1"/>
    <col min="7" max="7" width="11.33203125" style="5" bestFit="1" customWidth="1"/>
    <col min="8" max="8" width="64.5" bestFit="1" customWidth="1"/>
  </cols>
  <sheetData>
    <row r="1" spans="1:8" x14ac:dyDescent="0.2">
      <c r="A1" s="1" t="s">
        <v>0</v>
      </c>
      <c r="B1" s="1" t="s">
        <v>22</v>
      </c>
      <c r="C1" s="1" t="s">
        <v>23</v>
      </c>
      <c r="D1" s="1" t="s">
        <v>1</v>
      </c>
      <c r="E1" s="1" t="s">
        <v>40</v>
      </c>
      <c r="F1" s="1" t="s">
        <v>41</v>
      </c>
      <c r="G1" s="3" t="s">
        <v>37</v>
      </c>
      <c r="H1" s="1" t="s">
        <v>2</v>
      </c>
    </row>
    <row r="2" spans="1:8" x14ac:dyDescent="0.2">
      <c r="A2" s="2" t="s">
        <v>3</v>
      </c>
      <c r="B2" s="2" t="s">
        <v>38</v>
      </c>
      <c r="C2" s="2" t="s">
        <v>39</v>
      </c>
      <c r="D2" s="2">
        <v>1</v>
      </c>
      <c r="E2" s="2" t="s">
        <v>43</v>
      </c>
      <c r="F2" s="2"/>
      <c r="G2" s="4">
        <v>5</v>
      </c>
      <c r="H2" s="2" t="s">
        <v>4</v>
      </c>
    </row>
    <row r="3" spans="1:8" x14ac:dyDescent="0.2">
      <c r="A3" s="2" t="s">
        <v>5</v>
      </c>
      <c r="B3" s="2" t="s">
        <v>24</v>
      </c>
      <c r="C3" s="2" t="s">
        <v>25</v>
      </c>
      <c r="D3" s="2">
        <v>1</v>
      </c>
      <c r="E3" s="2" t="s">
        <v>44</v>
      </c>
      <c r="F3" s="2"/>
      <c r="G3" s="4">
        <v>66.38</v>
      </c>
      <c r="H3" s="2" t="s">
        <v>6</v>
      </c>
    </row>
    <row r="4" spans="1:8" x14ac:dyDescent="0.2">
      <c r="A4" s="2" t="s">
        <v>7</v>
      </c>
      <c r="B4" s="2" t="s">
        <v>38</v>
      </c>
      <c r="C4" s="2" t="s">
        <v>38</v>
      </c>
      <c r="D4" s="2">
        <v>1</v>
      </c>
      <c r="E4" s="2" t="s">
        <v>42</v>
      </c>
      <c r="F4" s="2">
        <v>420268</v>
      </c>
      <c r="G4" s="4">
        <v>10.9</v>
      </c>
      <c r="H4" s="2" t="s">
        <v>8</v>
      </c>
    </row>
    <row r="5" spans="1:8" x14ac:dyDescent="0.2">
      <c r="A5" s="2" t="s">
        <v>9</v>
      </c>
      <c r="B5" s="2" t="s">
        <v>38</v>
      </c>
      <c r="C5" s="2" t="s">
        <v>38</v>
      </c>
      <c r="D5" s="2">
        <v>1</v>
      </c>
      <c r="E5" s="2" t="s">
        <v>43</v>
      </c>
      <c r="F5" s="2"/>
      <c r="G5" s="4">
        <v>5</v>
      </c>
      <c r="H5" s="2" t="s">
        <v>10</v>
      </c>
    </row>
    <row r="6" spans="1:8" x14ac:dyDescent="0.2">
      <c r="A6" s="2" t="s">
        <v>11</v>
      </c>
      <c r="B6" s="2"/>
      <c r="C6" s="2"/>
      <c r="D6" s="2">
        <v>1</v>
      </c>
      <c r="E6" s="2" t="s">
        <v>42</v>
      </c>
      <c r="F6" s="2">
        <v>420088</v>
      </c>
      <c r="G6" s="4">
        <v>4.9000000000000004</v>
      </c>
      <c r="H6" s="2" t="s">
        <v>28</v>
      </c>
    </row>
    <row r="7" spans="1:8" x14ac:dyDescent="0.2">
      <c r="A7" s="2" t="s">
        <v>12</v>
      </c>
      <c r="B7" s="2"/>
      <c r="C7" s="2"/>
      <c r="D7" s="2">
        <v>1</v>
      </c>
      <c r="E7" s="2" t="s">
        <v>42</v>
      </c>
      <c r="F7" s="2">
        <v>420499</v>
      </c>
      <c r="G7" s="4">
        <v>5.9</v>
      </c>
      <c r="H7" s="2" t="s">
        <v>29</v>
      </c>
    </row>
    <row r="8" spans="1:8" x14ac:dyDescent="0.2">
      <c r="A8" s="2" t="s">
        <v>13</v>
      </c>
      <c r="B8" s="2" t="s">
        <v>30</v>
      </c>
      <c r="C8" s="2" t="s">
        <v>31</v>
      </c>
      <c r="D8" s="2">
        <v>1</v>
      </c>
      <c r="E8" s="2" t="s">
        <v>43</v>
      </c>
      <c r="F8" s="2"/>
      <c r="G8" s="4">
        <v>2</v>
      </c>
      <c r="H8" s="2" t="s">
        <v>14</v>
      </c>
    </row>
    <row r="9" spans="1:8" x14ac:dyDescent="0.2">
      <c r="A9" s="2" t="s">
        <v>15</v>
      </c>
      <c r="B9" s="2" t="s">
        <v>26</v>
      </c>
      <c r="C9" s="2"/>
      <c r="D9" s="2">
        <v>1</v>
      </c>
      <c r="E9" s="2" t="s">
        <v>42</v>
      </c>
      <c r="F9" s="2">
        <v>420709</v>
      </c>
      <c r="G9" s="4">
        <v>4.9000000000000004</v>
      </c>
      <c r="H9" s="2" t="s">
        <v>32</v>
      </c>
    </row>
    <row r="10" spans="1:8" x14ac:dyDescent="0.2">
      <c r="A10" s="2" t="s">
        <v>16</v>
      </c>
      <c r="B10" s="2" t="s">
        <v>38</v>
      </c>
      <c r="C10" s="2" t="s">
        <v>38</v>
      </c>
      <c r="D10" s="2">
        <v>1</v>
      </c>
      <c r="E10" s="2" t="s">
        <v>43</v>
      </c>
      <c r="F10" s="2"/>
      <c r="G10" s="4">
        <v>5</v>
      </c>
      <c r="H10" s="2" t="s">
        <v>17</v>
      </c>
    </row>
    <row r="11" spans="1:8" x14ac:dyDescent="0.2">
      <c r="A11" s="2" t="s">
        <v>18</v>
      </c>
      <c r="B11" s="2" t="s">
        <v>38</v>
      </c>
      <c r="C11" s="2" t="s">
        <v>38</v>
      </c>
      <c r="D11" s="2" t="s">
        <v>33</v>
      </c>
      <c r="E11" s="2" t="s">
        <v>38</v>
      </c>
      <c r="F11" s="2" t="s">
        <v>38</v>
      </c>
      <c r="G11" s="4">
        <v>1</v>
      </c>
      <c r="H11" s="2" t="s">
        <v>48</v>
      </c>
    </row>
    <row r="12" spans="1:8" x14ac:dyDescent="0.2">
      <c r="A12" s="2" t="s">
        <v>45</v>
      </c>
      <c r="B12" s="2" t="s">
        <v>34</v>
      </c>
      <c r="C12" s="2" t="s">
        <v>35</v>
      </c>
      <c r="D12" s="2">
        <v>1</v>
      </c>
      <c r="E12" s="2" t="s">
        <v>38</v>
      </c>
      <c r="F12" s="2" t="s">
        <v>38</v>
      </c>
      <c r="G12" s="4">
        <v>5</v>
      </c>
      <c r="H12" s="2" t="s">
        <v>19</v>
      </c>
    </row>
    <row r="13" spans="1:8" x14ac:dyDescent="0.2">
      <c r="A13" s="2" t="s">
        <v>46</v>
      </c>
      <c r="B13" s="2"/>
      <c r="C13" s="2"/>
      <c r="D13" s="2">
        <v>1</v>
      </c>
      <c r="E13" s="2" t="s">
        <v>42</v>
      </c>
      <c r="F13" s="2">
        <v>420356</v>
      </c>
      <c r="G13" s="4">
        <v>13.9</v>
      </c>
      <c r="H13" s="2" t="s">
        <v>50</v>
      </c>
    </row>
    <row r="14" spans="1:8" x14ac:dyDescent="0.2">
      <c r="A14" s="2" t="s">
        <v>20</v>
      </c>
      <c r="B14" s="2" t="s">
        <v>27</v>
      </c>
      <c r="C14" s="2" t="s">
        <v>36</v>
      </c>
      <c r="D14" s="2" t="s">
        <v>47</v>
      </c>
      <c r="E14" s="2" t="s">
        <v>43</v>
      </c>
      <c r="F14" s="2"/>
      <c r="G14" s="4">
        <v>5</v>
      </c>
      <c r="H14" s="2" t="s">
        <v>21</v>
      </c>
    </row>
    <row r="15" spans="1:8" x14ac:dyDescent="0.2">
      <c r="A15" s="2" t="s">
        <v>49</v>
      </c>
      <c r="B15" s="2"/>
      <c r="C15" s="2"/>
      <c r="D15" s="2">
        <v>1</v>
      </c>
      <c r="E15" s="2" t="s">
        <v>42</v>
      </c>
      <c r="F15" s="2">
        <v>423422</v>
      </c>
      <c r="G15" s="4">
        <v>3.9</v>
      </c>
      <c r="H15" s="2" t="s">
        <v>53</v>
      </c>
    </row>
    <row r="16" spans="1:8" x14ac:dyDescent="0.2">
      <c r="A16" s="2" t="s">
        <v>51</v>
      </c>
      <c r="D16" s="2">
        <v>1</v>
      </c>
      <c r="E16" s="2" t="s">
        <v>42</v>
      </c>
      <c r="F16">
        <v>421661</v>
      </c>
      <c r="G16" s="5">
        <v>3.9</v>
      </c>
      <c r="H16" s="2" t="s">
        <v>52</v>
      </c>
    </row>
    <row r="17" spans="1:8" x14ac:dyDescent="0.2">
      <c r="A17" s="2" t="s">
        <v>55</v>
      </c>
      <c r="D17" s="2">
        <v>1</v>
      </c>
      <c r="E17" s="2" t="s">
        <v>42</v>
      </c>
      <c r="F17" s="2">
        <v>423919</v>
      </c>
      <c r="G17" s="5">
        <v>3.9</v>
      </c>
      <c r="H17" s="2" t="s">
        <v>54</v>
      </c>
    </row>
    <row r="18" spans="1:8" x14ac:dyDescent="0.2">
      <c r="A18" s="2" t="s">
        <v>56</v>
      </c>
      <c r="D18" s="2">
        <v>1</v>
      </c>
      <c r="E18" s="2" t="s">
        <v>42</v>
      </c>
    </row>
    <row r="19" spans="1:8" x14ac:dyDescent="0.2">
      <c r="A19" s="2" t="s">
        <v>57</v>
      </c>
      <c r="D19" s="2">
        <v>1</v>
      </c>
    </row>
    <row r="23" spans="1:8" x14ac:dyDescent="0.2">
      <c r="G23" s="5">
        <f>SUM(G2:G19)</f>
        <v>146.58000000000004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Hanselmann</dc:creator>
  <cp:lastModifiedBy>Martin Hanselmann</cp:lastModifiedBy>
  <dcterms:created xsi:type="dcterms:W3CDTF">2025-05-10T09:09:59Z</dcterms:created>
  <dcterms:modified xsi:type="dcterms:W3CDTF">2025-06-01T15:00:24Z</dcterms:modified>
</cp:coreProperties>
</file>